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Sheet1"/>
    <sheet name="BOQ Abstract" sheetId="2" r:id="rIdSheet2"/>
  </sheets>
</workbook>
</file>

<file path=xl/sharedStrings.xml><?xml version="1.0" encoding="utf-8"?>
<sst xmlns="http://schemas.openxmlformats.org/spreadsheetml/2006/main" count="58" uniqueCount="58">
  <si>
    <t>KATHMANDU RING ROAD PACKAGE 3 - MEASUREMENT BOOK</t>
  </si>
  <si>
    <t>IPC #04 (CHAINAGE 12+400 TO 14+800)</t>
  </si>
  <si>
    <t>Item No</t>
  </si>
  <si>
    <t>BOQ Code</t>
  </si>
  <si>
    <t>Description of Work</t>
  </si>
  <si>
    <t>Nos</t>
  </si>
  <si>
    <t>Length (m)</t>
  </si>
  <si>
    <t>Breadth (m)</t>
  </si>
  <si>
    <t>Height (m)</t>
  </si>
  <si>
    <t>Quantity</t>
  </si>
  <si>
    <t>Unit</t>
  </si>
  <si>
    <t>Remarks</t>
  </si>
  <si>
    <t>1.0</t>
  </si>
  <si>
    <t>1.01</t>
  </si>
  <si>
    <t>Roadway Excavation in Soil (Ch 12+400 - 13+000)</t>
  </si>
  <si>
    <t>1</t>
  </si>
  <si>
    <t>600</t>
  </si>
  <si>
    <t>14.5</t>
  </si>
  <si>
    <t>1.2</t>
  </si>
  <si>
    <t>m3</t>
  </si>
  <si>
    <t>Common excavation</t>
  </si>
  <si>
    <t>1.1</t>
  </si>
  <si>
    <t>Roadway Excavation in Soil (Ch 13+000 - 13+800)</t>
  </si>
  <si>
    <t>800</t>
  </si>
  <si>
    <t>1.5</t>
  </si>
  <si>
    <t>Includes side drain cut</t>
  </si>
  <si>
    <t>2.0</t>
  </si>
  <si>
    <t>2.04</t>
  </si>
  <si>
    <t>Sub-base Granular Crushed Stone (150mm thick)</t>
  </si>
  <si>
    <t>1400</t>
  </si>
  <si>
    <t>12</t>
  </si>
  <si>
    <t>0.15</t>
  </si>
  <si>
    <t>Grading Class A</t>
  </si>
  <si>
    <t>3.0</t>
  </si>
  <si>
    <t>3.10</t>
  </si>
  <si>
    <t>M25 Structural Concrete in Box Culvert Walls</t>
  </si>
  <si>
    <t>2</t>
  </si>
  <si>
    <t>18.5</t>
  </si>
  <si>
    <t>0.45</t>
  </si>
  <si>
    <t>3.2</t>
  </si>
  <si>
    <t>Culvert at Ch 13+250</t>
  </si>
  <si>
    <t>Total Earthwork Quantity (m3)</t>
  </si>
  <si>
    <t>BILL OF QUANTITIES - ABSTRACT OF IPC #04</t>
  </si>
  <si>
    <t>Item</t>
  </si>
  <si>
    <t>Description</t>
  </si>
  <si>
    <t>Contract Qty</t>
  </si>
  <si>
    <t>Measured Qty</t>
  </si>
  <si>
    <t>Rate (NPR)</t>
  </si>
  <si>
    <t>Amount (NPR)</t>
  </si>
  <si>
    <t>Roadway Excavation in Soil</t>
  </si>
  <si>
    <t>45000</t>
  </si>
  <si>
    <t>485.5</t>
  </si>
  <si>
    <t>Granular Sub-base</t>
  </si>
  <si>
    <t>5000</t>
  </si>
  <si>
    <t>3250</t>
  </si>
  <si>
    <t>Subtotal (NPR):</t>
  </si>
  <si>
    <t>VAT 13%:</t>
  </si>
  <si>
    <t>Grand Total (NPR):</t>
  </si>
</sst>
</file>

<file path=xl/styles.xml><?xml version="1.0" encoding="utf-8"?>
<styleSheet xmlns="http://schemas.openxmlformats.org/spreadsheetml/2006/main">
  <fonts count="12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Protection="1">
      <protection locked="1"/>
    </xf>
    <xf numFmtId="0" fontId="1" fillId="0" borderId="0" applyProtection="1">
      <protection locked="1"/>
    </xf>
    <xf numFmtId="0" fontId="2" fillId="0" borderId="0" applyProtection="1">
      <protection locked="1"/>
    </xf>
    <xf numFmtId="0" fontId="3" fillId="0" borderId="0" applyProtection="1">
      <protection locked="1"/>
    </xf>
    <xf numFmtId="0" fontId="4" fillId="0" borderId="0" applyAlignment="1" applyProtection="1">
      <alignment horizontal="right"/>
      <protection locked="1"/>
    </xf>
    <xf numFmtId="0" fontId="5" fillId="0" borderId="0" applyAlignment="1" applyProtection="1">
      <alignment horizontal="center"/>
      <protection locked="1"/>
    </xf>
    <xf numFmtId="0" fontId="6" fillId="0" borderId="0" applyAlignment="1" applyProtection="1">
      <alignment horizontal="center"/>
      <protection locked="0"/>
    </xf>
    <xf numFmtId="0" fontId="7" fillId="0" borderId="0" applyProtection="1">
      <protection locked="0"/>
    </xf>
    <xf numFmtId="0" fontId="8" fillId="0" borderId="0" applyAlignment="1" applyProtection="1">
      <alignment horizontal="right"/>
      <protection locked="0"/>
    </xf>
    <xf numFmtId="0" fontId="9" fillId="0" borderId="0" applyAlignment="1" applyProtection="1">
      <alignment horizontal="right"/>
      <protection locked="1"/>
    </xf>
    <xf numFmtId="0" fontId="10" fillId="0" borderId="0" applyAlignment="1" applyProtection="1">
      <alignment horizontal="right"/>
      <protection locked="0"/>
    </xf>
    <xf numFmtId="0" fontId="11" fillId="0" borderId="0" applyAlignment="1" applyProtection="1">
      <alignment horizontal="right"/>
      <protection locked="1"/>
    </xf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Sst" Type="http://schemas.openxmlformats.org/officeDocument/2006/relationships/sharedStrings" Target="sharedStrings.xml"/>
  <Relationship Id="rIdSheet1" Type="http://schemas.openxmlformats.org/officeDocument/2006/relationships/worksheet" Target="worksheets/sheet1.xml"/>
  <Relationship Id="rIdSheet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Views>
    <sheetView workbookViewId="0">
      <pane xSplit="0" ySplit="3" topLeftCell="B4" activePane="bottomRight" state="frozen"/>
    </sheetView>
  </sheetViews>
  <cols>
    <col min="0" max="0" width="70" customWidth="1"/>
    <col min="1" max="1" width="110" customWidth="1"/>
    <col min="2" max="2" width="260" customWidth="1"/>
    <col min="3" max="3" width="70" customWidth="1"/>
    <col min="4" max="4" width="85" customWidth="1"/>
    <col min="5" max="5" width="85" customWidth="1"/>
    <col min="6" max="6" width="85" customWidth="1"/>
    <col min="7" max="7" width="110" customWidth="1"/>
    <col min="8" max="8" width="70" customWidth="1"/>
    <col min="9" max="9" width="16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3" t="s">
        <v>11</v>
      </c>
    </row>
    <row r="4">
      <c r="A4" s="6" t="s">
        <v>12</v>
      </c>
      <c r="B4" s="6" t="s">
        <v>13</v>
      </c>
      <c r="C4" s="7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9">
        <f>D4*E4*F4*G4</f>
        <v>10440</v>
      </c>
      <c r="I4" s="6" t="s">
        <v>19</v>
      </c>
      <c r="J4" s="7" t="s">
        <v>20</v>
      </c>
    </row>
    <row r="5">
      <c r="A5" s="6" t="s">
        <v>21</v>
      </c>
      <c r="B5" s="6" t="s">
        <v>13</v>
      </c>
      <c r="C5" s="7" t="s">
        <v>22</v>
      </c>
      <c r="D5" s="8" t="s">
        <v>15</v>
      </c>
      <c r="E5" s="8" t="s">
        <v>23</v>
      </c>
      <c r="F5" s="8" t="s">
        <v>17</v>
      </c>
      <c r="G5" s="8" t="s">
        <v>24</v>
      </c>
      <c r="H5" s="9">
        <f>D5*E5*F5*G5</f>
        <v>17400</v>
      </c>
      <c r="I5" s="6" t="s">
        <v>19</v>
      </c>
      <c r="J5" s="7" t="s">
        <v>25</v>
      </c>
    </row>
    <row r="6">
      <c r="A6" s="6" t="s">
        <v>26</v>
      </c>
      <c r="B6" s="6" t="s">
        <v>27</v>
      </c>
      <c r="C6" s="7" t="s">
        <v>28</v>
      </c>
      <c r="D6" s="8" t="s">
        <v>15</v>
      </c>
      <c r="E6" s="8" t="s">
        <v>29</v>
      </c>
      <c r="F6" s="8" t="s">
        <v>30</v>
      </c>
      <c r="G6" s="8" t="s">
        <v>31</v>
      </c>
      <c r="H6" s="9">
        <f>D6*E6*F6*G6</f>
        <v>2520</v>
      </c>
      <c r="I6" s="6" t="s">
        <v>19</v>
      </c>
      <c r="J6" s="7" t="s">
        <v>32</v>
      </c>
    </row>
    <row r="7">
      <c r="A7" s="6" t="s">
        <v>33</v>
      </c>
      <c r="B7" s="6" t="s">
        <v>34</v>
      </c>
      <c r="C7" s="7" t="s">
        <v>35</v>
      </c>
      <c r="D7" s="8" t="s">
        <v>36</v>
      </c>
      <c r="E7" s="8" t="s">
        <v>37</v>
      </c>
      <c r="F7" s="8" t="s">
        <v>38</v>
      </c>
      <c r="G7" s="8" t="s">
        <v>39</v>
      </c>
      <c r="H7" s="9">
        <f>D7*E7*F7*G7</f>
        <v>53.28</v>
      </c>
      <c r="I7" s="6" t="s">
        <v>19</v>
      </c>
      <c r="J7" s="7" t="s">
        <v>40</v>
      </c>
    </row>
    <row r="8">
      <c r="C8" s="10" t="s">
        <v>41</v>
      </c>
      <c r="H8" s="9">
        <f>SUM(H4:H5)</f>
        <v>27840</v>
      </c>
    </row>
  </sheetData>
</worksheet>
</file>

<file path=xl/worksheets/sheet2.xml><?xml version="1.0" encoding="utf-8"?>
<worksheet xmlns="http://schemas.openxmlformats.org/spreadsheetml/2006/main">
  <cols>
    <col min="0" max="0" width="70" customWidth="1"/>
    <col min="1" max="1" width="110" customWidth="1"/>
    <col min="2" max="2" width="260" customWidth="1"/>
    <col min="3" max="3" width="70" customWidth="1"/>
    <col min="4" max="4" width="110" customWidth="1"/>
    <col min="5" max="5" width="110" customWidth="1"/>
    <col min="6" max="6" width="120" customWidth="1"/>
    <col min="7" max="7" width="140" customWidth="1"/>
  </cols>
  <sheetData>
    <row r="1">
      <c r="A1" s="2" t="s">
        <v>42</v>
      </c>
    </row>
    <row r="3">
      <c r="A3" s="2" t="s">
        <v>43</v>
      </c>
      <c r="B3" s="2" t="s">
        <v>3</v>
      </c>
      <c r="C3" s="2" t="s">
        <v>44</v>
      </c>
      <c r="D3" s="2" t="s">
        <v>10</v>
      </c>
      <c r="E3" s="9" t="s">
        <v>45</v>
      </c>
      <c r="F3" s="9" t="s">
        <v>46</v>
      </c>
      <c r="G3" s="9" t="s">
        <v>47</v>
      </c>
      <c r="H3" s="9" t="s">
        <v>48</v>
      </c>
    </row>
    <row r="4">
      <c r="A4" s="6" t="s">
        <v>15</v>
      </c>
      <c r="B4" s="6" t="s">
        <v>13</v>
      </c>
      <c r="C4" s="7" t="s">
        <v>49</v>
      </c>
      <c r="D4" s="6" t="s">
        <v>19</v>
      </c>
      <c r="E4" s="8" t="s">
        <v>50</v>
      </c>
      <c r="F4" s="11">
        <f>Measurements!H8</f>
        <v>27840</v>
      </c>
      <c r="G4" s="8" t="s">
        <v>51</v>
      </c>
      <c r="H4" s="9">
        <f>F4*G4</f>
        <v>13516320</v>
      </c>
    </row>
    <row r="5">
      <c r="A5" s="6" t="s">
        <v>36</v>
      </c>
      <c r="B5" s="6" t="s">
        <v>27</v>
      </c>
      <c r="C5" s="7" t="s">
        <v>52</v>
      </c>
      <c r="D5" s="6" t="s">
        <v>19</v>
      </c>
      <c r="E5" s="8" t="s">
        <v>53</v>
      </c>
      <c r="F5" s="11">
        <f>Measurements!H6</f>
        <v>2520</v>
      </c>
      <c r="G5" s="8" t="s">
        <v>54</v>
      </c>
      <c r="H5" s="9">
        <f>F5*G5</f>
        <v>8190000</v>
      </c>
    </row>
    <row r="7">
      <c r="G7" s="10" t="s">
        <v>55</v>
      </c>
      <c r="H7" s="9">
        <f>SUM(H4:H5)</f>
        <v>21706320</v>
      </c>
    </row>
    <row r="8">
      <c r="G8" s="10" t="s">
        <v>56</v>
      </c>
      <c r="H8" s="9">
        <f>H7*0.13</f>
        <v>2821821.6</v>
      </c>
    </row>
    <row r="9">
      <c r="G9" s="10" t="s">
        <v>57</v>
      </c>
      <c r="H9" s="9">
        <f>H7+H8</f>
        <v>24528141.6</v>
      </c>
    </row>
  </sheetData>
</worksheet>
</file>