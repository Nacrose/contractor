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keoff Measurement" sheetId="1" r:id="rIdSheet1"/>
  </sheets>
  <definedNames>
    <definedName name="VAT_RATE">0.13</definedName>
  </definedNames>
</workbook>
</file>

<file path=xl/sharedStrings.xml><?xml version="1.0" encoding="utf-8"?>
<sst xmlns="http://schemas.openxmlformats.org/spreadsheetml/2006/main" count="15" uniqueCount="15">
  <si>
    <t>Item</t>
  </si>
  <si>
    <t>Description</t>
  </si>
  <si>
    <t>Length (m)</t>
  </si>
  <si>
    <t>Breadth (m)</t>
  </si>
  <si>
    <t>Height (m)</t>
  </si>
  <si>
    <t>Quantity</t>
  </si>
  <si>
    <t>Unit Rate (NPR)</t>
  </si>
  <si>
    <t>Total Amount</t>
  </si>
  <si>
    <t>3.01</t>
  </si>
  <si>
    <t>M25 Structural Concrete in Abutments</t>
  </si>
  <si>
    <t>4.01</t>
  </si>
  <si>
    <t>Fe500 TMT Steel Reinforcement (kg)</t>
  </si>
  <si>
    <t>Net Subtotal</t>
  </si>
  <si>
    <t>VAT 13%</t>
  </si>
  <si>
    <t>Gross Total (NPR)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</si>
</sst>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applyProtection="1">
      <protection locked="1"/>
    </xf>
    <xf numFmtId="0" fontId="1" fillId="0" borderId="0" applyAlignment="1" applyProtection="1">
      <alignment horizontal="center"/>
      <protection locked="1"/>
    </xf>
    <xf numFmtId="0" fontId="2" fillId="0" borderId="0" applyAlignment="1" applyProtection="1">
      <alignment horizontal="left"/>
      <protection locked="1"/>
    </xf>
    <xf numFmtId="0" fontId="3" fillId="0" borderId="0" applyAlignment="1" applyProtection="1">
      <alignment horizontal="right"/>
      <protection locked="1"/>
    </xf>
    <xf numFmtId="0" fontId="4" fillId="0" borderId="0" applyAlignment="1" applyProtection="1">
      <alignment horizontal="right"/>
      <protection locked="0"/>
    </xf>
    <xf numFmtId="0" fontId="5" fillId="0" borderId="0" applyAlignment="1" applyProtection="1">
      <alignment horizontal="right"/>
      <protection locked="1"/>
    </xf>
    <xf numFmtId="0" fontId="6" fillId="0" borderId="0" applyProtection="1">
      <protection locked="1"/>
    </xf>
  </cellXfs>
</styleSheet>
</file>

<file path=xl/_rels/workbook.xml.rels><?xml version="1.0" encoding="UTF-8" standalone="yes"?>
<Relationships xmlns="http://schemas.openxmlformats.org/package/2006/relationships">
  <Relationship Id="rIdStyles" Type="http://schemas.openxmlformats.org/officeDocument/2006/relationships/styles" Target="styles.xml"/>
  <Relationship Id="rIdSst" Type="http://schemas.openxmlformats.org/officeDocument/2006/relationships/sharedStrings" Target="sharedStrings.xml"/>
  <Relationship Id="rIdSheet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xSplit="2" ySplit="1" topLeftCell="D2" activePane="bottomRight" state="frozen"/>
    </sheetView>
  </sheetViews>
  <cols>
    <col min="0" max="0" width="8" customWidth="1"/>
    <col min="1" max="1" width="35" customWidth="1"/>
    <col min="2" max="2" width="10" customWidth="1"/>
    <col min="3" max="3" width="10" customWidth="1"/>
    <col min="4" max="4" width="10" customWidth="1"/>
    <col min="5" max="5" width="15" customWidth="1"/>
    <col min="6" max="6" width="15" customWidth="1"/>
    <col min="7" max="7" width="20" customWidth="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0" t="s">
        <v>8</v>
      </c>
      <c r="B2" s="0" t="s">
        <v>9</v>
      </c>
      <c r="C2" s="4">
        <v>12.5</v>
      </c>
      <c r="D2" s="4">
        <v>2.2</v>
      </c>
      <c r="E2" s="4">
        <v>3.5</v>
      </c>
      <c r="F2" s="5">
        <f>C2*D2*E2</f>
        <v>96.25</v>
      </c>
      <c r="G2" s="5">
        <v>16500</v>
      </c>
      <c r="H2" s="5">
        <f>F2*G2</f>
        <v>1588125</v>
      </c>
    </row>
    <row r="3">
      <c r="A3" s="0" t="s">
        <v>10</v>
      </c>
      <c r="B3" s="0" t="s">
        <v>11</v>
      </c>
      <c r="C3" s="4">
        <v>1</v>
      </c>
      <c r="D3" s="4">
        <v>1</v>
      </c>
      <c r="E3" s="4">
        <v>8500</v>
      </c>
      <c r="F3" s="5">
        <f>C3*D3*E3</f>
        <v>8500</v>
      </c>
      <c r="G3" s="5">
        <v>135</v>
      </c>
      <c r="H3" s="5">
        <f>F3*G3</f>
        <v>1147500</v>
      </c>
    </row>
    <row r="4">
      <c r="B4" s="6" t="s">
        <v>12</v>
      </c>
      <c r="H4" s="3">
        <f>SUM(H2:H3)</f>
        <v>2735625</v>
      </c>
    </row>
    <row r="5">
      <c r="B5" s="6" t="s">
        <v>13</v>
      </c>
      <c r="H5" s="3">
        <f>H4*0.13</f>
        <v>355631.25</v>
      </c>
    </row>
    <row r="6">
      <c r="B6" s="6" t="s">
        <v>14</v>
      </c>
      <c r="H6" s="3">
        <f>H4+H5</f>
        <v>3091256.25</v>
      </c>
    </row>
  </sheetData>
</worksheet>
</file>